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NicE-Buoy\Doc\"/>
    </mc:Choice>
  </mc:AlternateContent>
  <xr:revisionPtr revIDLastSave="0" documentId="8_{04A3316B-87C0-4795-B381-78F751F1ACDF}" xr6:coauthVersionLast="47" xr6:coauthVersionMax="47" xr10:uidLastSave="{00000000-0000-0000-0000-000000000000}"/>
  <bookViews>
    <workbookView xWindow="57480" yWindow="6915" windowWidth="29040" windowHeight="15720" xr2:uid="{67BB3E53-372D-41C3-AAF3-0E27818233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C18" i="1"/>
  <c r="C17" i="1"/>
  <c r="C7" i="1"/>
  <c r="C4" i="1"/>
  <c r="C11" i="1" s="1"/>
  <c r="C14" i="1" s="1"/>
</calcChain>
</file>

<file path=xl/sharedStrings.xml><?xml version="1.0" encoding="utf-8"?>
<sst xmlns="http://schemas.openxmlformats.org/spreadsheetml/2006/main" count="12" uniqueCount="11">
  <si>
    <t>Ushunt</t>
  </si>
  <si>
    <t>I</t>
  </si>
  <si>
    <t>Rshunt</t>
  </si>
  <si>
    <t>U1</t>
  </si>
  <si>
    <t>Uref</t>
  </si>
  <si>
    <t>VinMax</t>
  </si>
  <si>
    <t>VinMin</t>
  </si>
  <si>
    <t>Gain</t>
  </si>
  <si>
    <t>K</t>
  </si>
  <si>
    <t>R1 R3</t>
  </si>
  <si>
    <t>R2 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</si>
</sst>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B563C-0105-4BBC-8FB1-DCE27E385253}">
  <dimension ref="B2:D18"/>
  <sheetViews>
    <sheetView tabSelected="1" workbookViewId="0">
      <selection activeCell="D18" sqref="D18"/>
    </sheetView>
  </sheetViews>
  <sheetFormatPr defaultRowHeight="14.25" x14ac:dyDescent="0.45"/>
  <sheetData>
    <row r="2" spans="2:4" x14ac:dyDescent="0.45">
      <c r="B2" t="s">
        <v>0</v>
      </c>
      <c r="C2">
        <v>0.5</v>
      </c>
    </row>
    <row r="3" spans="2:4" x14ac:dyDescent="0.45">
      <c r="B3" t="s">
        <v>1</v>
      </c>
      <c r="C3">
        <v>20</v>
      </c>
    </row>
    <row r="4" spans="2:4" x14ac:dyDescent="0.45">
      <c r="B4" t="s">
        <v>2</v>
      </c>
      <c r="C4">
        <f>C2/C3</f>
        <v>2.5000000000000001E-2</v>
      </c>
    </row>
    <row r="6" spans="2:4" x14ac:dyDescent="0.45">
      <c r="B6" t="s">
        <v>3</v>
      </c>
      <c r="C6">
        <v>3.3</v>
      </c>
    </row>
    <row r="7" spans="2:4" x14ac:dyDescent="0.45">
      <c r="B7" t="s">
        <v>4</v>
      </c>
      <c r="C7">
        <f>C6/2</f>
        <v>1.65</v>
      </c>
    </row>
    <row r="9" spans="2:4" x14ac:dyDescent="0.45">
      <c r="B9" t="s">
        <v>5</v>
      </c>
      <c r="C9">
        <v>3.2</v>
      </c>
    </row>
    <row r="10" spans="2:4" x14ac:dyDescent="0.45">
      <c r="B10" t="s">
        <v>6</v>
      </c>
      <c r="C10">
        <v>0.1</v>
      </c>
    </row>
    <row r="11" spans="2:4" x14ac:dyDescent="0.45">
      <c r="B11" t="s">
        <v>7</v>
      </c>
      <c r="C11">
        <f>C9-C10/((20+20)*C4)</f>
        <v>3.1</v>
      </c>
    </row>
    <row r="13" spans="2:4" x14ac:dyDescent="0.45">
      <c r="B13" t="s">
        <v>9</v>
      </c>
      <c r="C13">
        <v>1.5</v>
      </c>
      <c r="D13" t="s">
        <v>8</v>
      </c>
    </row>
    <row r="14" spans="2:4" x14ac:dyDescent="0.45">
      <c r="B14" t="s">
        <v>10</v>
      </c>
      <c r="C14">
        <f>C11*C13</f>
        <v>4.6500000000000004</v>
      </c>
      <c r="D14" t="s">
        <v>8</v>
      </c>
    </row>
    <row r="17" spans="2:4" x14ac:dyDescent="0.45">
      <c r="B17">
        <v>20</v>
      </c>
      <c r="C17">
        <f>B17*B17*0.025</f>
        <v>10</v>
      </c>
    </row>
    <row r="18" spans="2:4" x14ac:dyDescent="0.45">
      <c r="B18">
        <v>0.5</v>
      </c>
      <c r="C18">
        <f>B18*20</f>
        <v>10</v>
      </c>
      <c r="D18">
        <f>C18/4</f>
        <v>2.5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d279179-731f-4062-b3d2-50a617067919}" enabled="1" method="Standard" siteId="{54d36b47-3315-494b-b7f3-91a49dfa9df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de Nijs</dc:creator>
  <cp:lastModifiedBy>Peter de Nijs</cp:lastModifiedBy>
  <dcterms:created xsi:type="dcterms:W3CDTF">2025-11-10T19:05:52Z</dcterms:created>
  <dcterms:modified xsi:type="dcterms:W3CDTF">2025-11-10T22:30:49Z</dcterms:modified>
</cp:coreProperties>
</file>